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<sst xmlns="http://schemas.openxmlformats.org/spreadsheetml/2006/main" count="184" uniqueCount="66">
  <si>
    <t xml:space="preserve">THE SALIK PROJECT UK CIC — Project Coordinator Time Log</t>
  </si>
  <si>
    <t xml:space="preserve">Drug &amp; Alcohol Diversity Programme · 160 hrs @ £25/hr = £4,000 · Log from 24 April 2026</t>
  </si>
  <si>
    <t xml:space="preserve">Date</t>
  </si>
  <si>
    <t xml:space="preserve">Category</t>
  </si>
  <si>
    <t xml:space="preserve">Hours</t>
  </si>
  <si>
    <t xml:space="preserve">Description of work done</t>
  </si>
  <si>
    <t xml:space="preserve">Paid / Unpaid</t>
  </si>
  <si>
    <t xml:space="preserve">Running total (hrs)</t>
  </si>
  <si>
    <t xml:space="preserve">27/04/2026</t>
  </si>
  <si>
    <t xml:space="preserve">Partnership meetings &amp; Core Group</t>
  </si>
  <si>
    <t xml:space="preserve">Waffa &amp; Sean Cusack meeting at Turning Point Rochdale Hub</t>
  </si>
  <si>
    <t xml:space="preserve">Paid (grant)</t>
  </si>
  <si>
    <t xml:space="preserve">29/04/2026</t>
  </si>
  <si>
    <t xml:space="preserve">Final Community Panel: Live Well – Action Together (Fire Up Co-Working Space)</t>
  </si>
  <si>
    <t xml:space="preserve">06/05/2026</t>
  </si>
  <si>
    <t xml:space="preserve">Turning Point UK – Spotland Meeting</t>
  </si>
  <si>
    <t xml:space="preserve">11/05/2026</t>
  </si>
  <si>
    <t xml:space="preserve">Resource audit &amp; mapping</t>
  </si>
  <si>
    <t xml:space="preserve">Admin / Project Coordinator planning</t>
  </si>
  <si>
    <t xml:space="preserve">Waffa meeting with Callum catch up</t>
  </si>
  <si>
    <t xml:space="preserve">Waffa &amp; Musty meeting debrief</t>
  </si>
  <si>
    <t xml:space="preserve">Waffa, Basharat &amp; Turning Point Kayla meeting</t>
  </si>
  <si>
    <t xml:space="preserve">12/05/2026</t>
  </si>
  <si>
    <t xml:space="preserve">Discussion – Turning Point / Salik Project (Teams with Zac Blinston)</t>
  </si>
  <si>
    <t xml:space="preserve">Meeting with Imam Syed – Naloxone (Neeli Mosque)</t>
  </si>
  <si>
    <t xml:space="preserve">13/05/2026</t>
  </si>
  <si>
    <t xml:space="preserve">South Asian Heritage meeting – Funders &amp; organisers, BACP / Living Well (Rochdale Town Hall)</t>
  </si>
  <si>
    <t xml:space="preserve">14/05/2026</t>
  </si>
  <si>
    <t xml:space="preserve">Planning &amp; delivery of focus groups</t>
  </si>
  <si>
    <t xml:space="preserve">Phoenix Way – outreach/focus group activity (with Waffa)</t>
  </si>
  <si>
    <t xml:space="preserve">Meeting with Mr Kamrul BACP – Naloxone training TP</t>
  </si>
  <si>
    <t xml:space="preserve">15/05/2026</t>
  </si>
  <si>
    <t xml:space="preserve">Salik UK &amp; HL weekly debrief (with Waffa)</t>
  </si>
  <si>
    <t xml:space="preserve">Salik / Stepping Stones Fatima meeting (provisional)</t>
  </si>
  <si>
    <t xml:space="preserve">18/05/2026</t>
  </si>
  <si>
    <t xml:space="preserve">19/05/2026</t>
  </si>
  <si>
    <t xml:space="preserve">Salik – Crescent Radio meeting (with Waffa &amp; Tasneem)</t>
  </si>
  <si>
    <t xml:space="preserve">20/05/2026</t>
  </si>
  <si>
    <t xml:space="preserve">Diversity Programme meeting – Rochdale Council Public Health (KYP, Belfield Rd)</t>
  </si>
  <si>
    <t xml:space="preserve">Rochdale Community Voices Network – inaugural meeting, Salik spotlight (Nelson Street Church)</t>
  </si>
  <si>
    <t xml:space="preserve">21/05/2026</t>
  </si>
  <si>
    <t xml:space="preserve">22/05/2026</t>
  </si>
  <si>
    <t xml:space="preserve">Catch up – Salik Project UK (with Joel Taylor, Action Together &amp; MMU)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</si>
  <si>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</si>
  <si>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</si>
  <si>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</si>
  <si>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</si>
  <si>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</si>
  <si>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IPS / Salik meeting (Teams – with Waffa &amp; Tyron Coley, Groundwork)</t>
  </si>
  <si>
    <t xml:space="preserve">01/06/2026</t>
  </si>
  <si>
    <t xml:space="preserve">02/06/2026</t>
  </si>
  <si>
    <t xml:space="preserve">Waffa – Neeli Masjid board meeting, Naloxone training offer</t>
  </si>
  <si>
    <t xml:space="preserve">03/06/2026</t>
  </si>
  <si>
    <t xml:space="preserve">Waffa meeting with BACP team – Salik &amp; HL, Naloxone training offer</t>
  </si>
  <si>
    <t xml:space="preserve">TOTAL HOURS LOGGED</t>
  </si>
  <si>
    <t xml:space="preserve">THE SALIK PROJECT UK CIC — Budget Summary</t>
  </si>
  <si>
    <t xml:space="preserve">Hours used vs budget by category · auto-updates from Time Log</t>
  </si>
  <si>
    <t xml:space="preserve">Budget (hrs)</t>
  </si>
  <si>
    <t xml:space="preserve">Hours logged</t>
  </si>
  <si>
    <t xml:space="preserve">Hours remaining</t>
  </si>
  <si>
    <t xml:space="preserve">Thematic analysis</t>
  </si>
  <si>
    <t xml:space="preserve">Drafting &amp; refining resources</t>
  </si>
  <si>
    <t xml:space="preserve">Online resource hub development</t>
  </si>
  <si>
    <t xml:space="preserve">Monitoring &amp; evaluation</t>
  </si>
  <si>
    <t xml:space="preserve">TOTAL</t>
  </si>
  <si>
    <t xml:space="preserve">Pay earned so far (grant hours × £25)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</si>
</sst>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\£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2E7D55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1"/>
      <color rgb="FF2E7D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E42"/>
        <bgColor rgb="FF2E7D55"/>
      </patternFill>
    </fill>
    <fill>
      <patternFill patternType="solid">
        <fgColor rgb="FFE8F5EE"/>
        <bgColor rgb="FFF5F5F5"/>
      </patternFill>
    </fill>
    <fill>
      <patternFill patternType="solid">
        <fgColor rgb="FF2E7D55"/>
        <bgColor rgb="FF1A5E42"/>
      </patternFill>
    </fill>
    <fill>
      <patternFill patternType="solid">
        <fgColor rgb="FFF5F5F5"/>
        <bgColor rgb="FFE8F5EE"/>
      </patternFill>
    </fill>
    <fill>
      <patternFill patternType="solid">
        <fgColor rgb="FFFFFFFF"/>
        <bgColor rgb="FFF5F5F5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/>
      <right/>
      <top style="thin">
        <color rgb="FFCCCCCC"/>
      </top>
      <bottom/>
      <diagonal/>
    </border>
    <border diagonalUp="false" diagonalDown="false">
      <left/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/>
      <bottom/>
      <diagonal/>
    </border>
    <border diagonalUp="false" diagonalDown="false">
      <left/>
      <right style="thin">
        <color rgb="FFCCCCCC"/>
      </right>
      <top/>
      <bottom/>
      <diagonal/>
    </border>
    <border diagonalUp="false" diagonalDown="false">
      <left style="thin">
        <color rgb="FFCCCCCC"/>
      </left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2E7D55"/>
      </left>
      <right/>
      <top style="thin">
        <color rgb="FF2E7D55"/>
      </top>
      <bottom style="thin">
        <color rgb="FF2E7D55"/>
      </bottom>
      <diagonal/>
    </border>
    <border diagonalUp="false" diagonalDown="false">
      <left/>
      <right/>
      <top style="thin">
        <color rgb="FF2E7D55"/>
      </top>
      <bottom style="thin">
        <color rgb="FF2E7D55"/>
      </bottom>
      <diagonal/>
    </border>
    <border diagonalUp="false" diagonalDown="false">
      <left/>
      <right style="thin">
        <color rgb="FF2E7D55"/>
      </right>
      <top style="thin">
        <color rgb="FF2E7D55"/>
      </top>
      <bottom style="thin">
        <color rgb="FF2E7D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E42"/>
      <rgbColor rgb="FFCCCCCC"/>
      <rgbColor rgb="FF808080"/>
      <rgbColor rgb="FF9999FF"/>
      <rgbColor rgb="FF993366"/>
      <rgbColor rgb="FFF5F5F5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55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</row>
    <row r="5" customFormat="false" ht="30" hidden="false" customHeight="true" outlineLevel="0" collapsed="false">
      <c r="A5" s="7" t="s">
        <v>8</v>
      </c>
      <c r="B5" s="8" t="s">
        <v>9</v>
      </c>
      <c r="C5" s="9" t="n">
        <v>1</v>
      </c>
      <c r="D5" s="10" t="s">
        <v>10</v>
      </c>
      <c r="E5" s="9" t="s">
        <v>11</v>
      </c>
      <c r="F5" s="11" t="n">
        <f aca="false">IF(C5="","",SUM($C$5:C5))</f>
        <v>1</v>
      </c>
    </row>
    <row r="6" customFormat="false" ht="30" hidden="false" customHeight="true" outlineLevel="0" collapsed="false">
      <c r="A6" s="12" t="s">
        <v>12</v>
      </c>
      <c r="B6" s="13" t="s">
        <v>9</v>
      </c>
      <c r="C6" s="14" t="n">
        <v>3</v>
      </c>
      <c r="D6" s="15" t="s">
        <v>13</v>
      </c>
      <c r="E6" s="14" t="s">
        <v>11</v>
      </c>
      <c r="F6" s="16" t="n">
        <f aca="false">IF(C6="","",SUM($C$5:C6))</f>
        <v>4</v>
      </c>
    </row>
    <row r="7" customFormat="false" ht="30" hidden="false" customHeight="true" outlineLevel="0" collapsed="false">
      <c r="A7" s="7" t="s">
        <v>14</v>
      </c>
      <c r="B7" s="8" t="s">
        <v>9</v>
      </c>
      <c r="C7" s="9" t="n">
        <v>2</v>
      </c>
      <c r="D7" s="10" t="s">
        <v>15</v>
      </c>
      <c r="E7" s="9" t="s">
        <v>11</v>
      </c>
      <c r="F7" s="11" t="n">
        <f aca="false">IF(C7="","",SUM($C$5:C7))</f>
        <v>6</v>
      </c>
    </row>
    <row r="8" customFormat="false" ht="30" hidden="false" customHeight="true" outlineLevel="0" collapsed="false">
      <c r="A8" s="12" t="s">
        <v>16</v>
      </c>
      <c r="B8" s="13" t="s">
        <v>17</v>
      </c>
      <c r="C8" s="14" t="n">
        <v>1</v>
      </c>
      <c r="D8" s="15" t="s">
        <v>18</v>
      </c>
      <c r="E8" s="14" t="s">
        <v>11</v>
      </c>
      <c r="F8" s="16" t="n">
        <f aca="false">IF(C8="","",SUM($C$5:C8))</f>
        <v>7</v>
      </c>
    </row>
    <row r="9" customFormat="false" ht="30" hidden="false" customHeight="true" outlineLevel="0" collapsed="false">
      <c r="A9" s="7" t="s">
        <v>16</v>
      </c>
      <c r="B9" s="8" t="s">
        <v>9</v>
      </c>
      <c r="C9" s="9" t="n">
        <v>1</v>
      </c>
      <c r="D9" s="10" t="s">
        <v>19</v>
      </c>
      <c r="E9" s="9" t="s">
        <v>11</v>
      </c>
      <c r="F9" s="11" t="n">
        <f aca="false">IF(C9="","",SUM($C$5:C9))</f>
        <v>8</v>
      </c>
    </row>
    <row r="10" customFormat="false" ht="30" hidden="false" customHeight="true" outlineLevel="0" collapsed="false">
      <c r="A10" s="12" t="s">
        <v>16</v>
      </c>
      <c r="B10" s="13" t="s">
        <v>9</v>
      </c>
      <c r="C10" s="14" t="n">
        <v>1</v>
      </c>
      <c r="D10" s="15" t="s">
        <v>20</v>
      </c>
      <c r="E10" s="14" t="s">
        <v>11</v>
      </c>
      <c r="F10" s="16" t="n">
        <f aca="false">IF(C10="","",SUM($C$5:C10))</f>
        <v>9</v>
      </c>
    </row>
    <row r="11" customFormat="false" ht="30" hidden="false" customHeight="true" outlineLevel="0" collapsed="false">
      <c r="A11" s="7" t="s">
        <v>16</v>
      </c>
      <c r="B11" s="8" t="s">
        <v>9</v>
      </c>
      <c r="C11" s="9" t="n">
        <v>1</v>
      </c>
      <c r="D11" s="10" t="s">
        <v>21</v>
      </c>
      <c r="E11" s="9" t="s">
        <v>11</v>
      </c>
      <c r="F11" s="11" t="n">
        <f aca="false">IF(C11="","",SUM($C$5:C11))</f>
        <v>10</v>
      </c>
    </row>
    <row r="12" customFormat="false" ht="30" hidden="false" customHeight="true" outlineLevel="0" collapsed="false">
      <c r="A12" s="12" t="s">
        <v>22</v>
      </c>
      <c r="B12" s="13" t="s">
        <v>17</v>
      </c>
      <c r="C12" s="14" t="n">
        <v>1</v>
      </c>
      <c r="D12" s="15" t="s">
        <v>18</v>
      </c>
      <c r="E12" s="14" t="s">
        <v>11</v>
      </c>
      <c r="F12" s="16" t="n">
        <f aca="false">IF(C12="","",SUM($C$5:C12))</f>
        <v>11</v>
      </c>
    </row>
    <row r="13" customFormat="false" ht="30" hidden="false" customHeight="true" outlineLevel="0" collapsed="false">
      <c r="A13" s="7" t="s">
        <v>22</v>
      </c>
      <c r="B13" s="8" t="s">
        <v>9</v>
      </c>
      <c r="C13" s="9" t="n">
        <v>1</v>
      </c>
      <c r="D13" s="10" t="s">
        <v>23</v>
      </c>
      <c r="E13" s="9" t="s">
        <v>11</v>
      </c>
      <c r="F13" s="11" t="n">
        <f aca="false">IF(C13="","",SUM($C$5:C13))</f>
        <v>12</v>
      </c>
    </row>
    <row r="14" customFormat="false" ht="30" hidden="false" customHeight="true" outlineLevel="0" collapsed="false">
      <c r="A14" s="12" t="s">
        <v>22</v>
      </c>
      <c r="B14" s="13" t="s">
        <v>9</v>
      </c>
      <c r="C14" s="14" t="n">
        <v>1</v>
      </c>
      <c r="D14" s="15" t="s">
        <v>24</v>
      </c>
      <c r="E14" s="14" t="s">
        <v>11</v>
      </c>
      <c r="F14" s="16" t="n">
        <f aca="false">IF(C14="","",SUM($C$5:C14))</f>
        <v>13</v>
      </c>
    </row>
    <row r="15" customFormat="false" ht="30" hidden="false" customHeight="true" outlineLevel="0" collapsed="false">
      <c r="A15" s="7" t="s">
        <v>25</v>
      </c>
      <c r="B15" s="8" t="s">
        <v>17</v>
      </c>
      <c r="C15" s="9" t="n">
        <v>1</v>
      </c>
      <c r="D15" s="10" t="s">
        <v>18</v>
      </c>
      <c r="E15" s="9" t="s">
        <v>11</v>
      </c>
      <c r="F15" s="11" t="n">
        <f aca="false">IF(C15="","",SUM($C$5:C15))</f>
        <v>14</v>
      </c>
    </row>
    <row r="16" customFormat="false" ht="30" hidden="false" customHeight="true" outlineLevel="0" collapsed="false">
      <c r="A16" s="12" t="s">
        <v>25</v>
      </c>
      <c r="B16" s="13" t="s">
        <v>9</v>
      </c>
      <c r="C16" s="14" t="n">
        <v>1</v>
      </c>
      <c r="D16" s="15" t="s">
        <v>26</v>
      </c>
      <c r="E16" s="14" t="s">
        <v>11</v>
      </c>
      <c r="F16" s="16" t="n">
        <f aca="false">IF(C16="","",SUM($C$5:C16))</f>
        <v>15</v>
      </c>
    </row>
    <row r="17" customFormat="false" ht="30" hidden="false" customHeight="true" outlineLevel="0" collapsed="false">
      <c r="A17" s="7" t="s">
        <v>27</v>
      </c>
      <c r="B17" s="8" t="s">
        <v>17</v>
      </c>
      <c r="C17" s="9" t="n">
        <v>1</v>
      </c>
      <c r="D17" s="10" t="s">
        <v>18</v>
      </c>
      <c r="E17" s="9" t="s">
        <v>11</v>
      </c>
      <c r="F17" s="11" t="n">
        <f aca="false">IF(C17="","",SUM($C$5:C17))</f>
        <v>16</v>
      </c>
    </row>
    <row r="18" customFormat="false" ht="30" hidden="false" customHeight="true" outlineLevel="0" collapsed="false">
      <c r="A18" s="12" t="s">
        <v>27</v>
      </c>
      <c r="B18" s="13" t="s">
        <v>28</v>
      </c>
      <c r="C18" s="14" t="n">
        <v>4</v>
      </c>
      <c r="D18" s="15" t="s">
        <v>29</v>
      </c>
      <c r="E18" s="14" t="s">
        <v>11</v>
      </c>
      <c r="F18" s="16" t="n">
        <f aca="false">IF(C18="","",SUM($C$5:C18))</f>
        <v>20</v>
      </c>
    </row>
    <row r="19" customFormat="false" ht="30" hidden="false" customHeight="true" outlineLevel="0" collapsed="false">
      <c r="A19" s="7" t="s">
        <v>27</v>
      </c>
      <c r="B19" s="8" t="s">
        <v>9</v>
      </c>
      <c r="C19" s="9" t="n">
        <v>1</v>
      </c>
      <c r="D19" s="10" t="s">
        <v>30</v>
      </c>
      <c r="E19" s="9" t="s">
        <v>11</v>
      </c>
      <c r="F19" s="11" t="n">
        <f aca="false">IF(C19="","",SUM($C$5:C19))</f>
        <v>21</v>
      </c>
    </row>
    <row r="20" customFormat="false" ht="30" hidden="false" customHeight="true" outlineLevel="0" collapsed="false">
      <c r="A20" s="12" t="s">
        <v>31</v>
      </c>
      <c r="B20" s="13" t="s">
        <v>17</v>
      </c>
      <c r="C20" s="14" t="n">
        <v>1</v>
      </c>
      <c r="D20" s="15" t="s">
        <v>18</v>
      </c>
      <c r="E20" s="14" t="s">
        <v>11</v>
      </c>
      <c r="F20" s="16" t="n">
        <f aca="false">IF(C20="","",SUM($C$5:C20))</f>
        <v>22</v>
      </c>
    </row>
    <row r="21" customFormat="false" ht="30" hidden="false" customHeight="true" outlineLevel="0" collapsed="false">
      <c r="A21" s="7" t="s">
        <v>31</v>
      </c>
      <c r="B21" s="8" t="s">
        <v>9</v>
      </c>
      <c r="C21" s="9" t="n">
        <v>1</v>
      </c>
      <c r="D21" s="10" t="s">
        <v>32</v>
      </c>
      <c r="E21" s="9" t="s">
        <v>11</v>
      </c>
      <c r="F21" s="11" t="n">
        <f aca="false">IF(C21="","",SUM($C$5:C21))</f>
        <v>23</v>
      </c>
    </row>
    <row r="22" customFormat="false" ht="30" hidden="false" customHeight="true" outlineLevel="0" collapsed="false">
      <c r="A22" s="12" t="s">
        <v>31</v>
      </c>
      <c r="B22" s="13" t="s">
        <v>9</v>
      </c>
      <c r="C22" s="14" t="n">
        <v>1</v>
      </c>
      <c r="D22" s="15" t="s">
        <v>33</v>
      </c>
      <c r="E22" s="14" t="s">
        <v>11</v>
      </c>
      <c r="F22" s="16" t="n">
        <f aca="false">IF(C22="","",SUM($C$5:C22))</f>
        <v>24</v>
      </c>
    </row>
    <row r="23" customFormat="false" ht="30" hidden="false" customHeight="true" outlineLevel="0" collapsed="false">
      <c r="A23" s="7" t="s">
        <v>34</v>
      </c>
      <c r="B23" s="8" t="s">
        <v>17</v>
      </c>
      <c r="C23" s="9" t="n">
        <v>1</v>
      </c>
      <c r="D23" s="10" t="s">
        <v>18</v>
      </c>
      <c r="E23" s="9" t="s">
        <v>11</v>
      </c>
      <c r="F23" s="11" t="n">
        <f aca="false">IF(C23="","",SUM($C$5:C23))</f>
        <v>25</v>
      </c>
    </row>
    <row r="24" customFormat="false" ht="30" hidden="false" customHeight="true" outlineLevel="0" collapsed="false">
      <c r="A24" s="12" t="s">
        <v>35</v>
      </c>
      <c r="B24" s="13" t="s">
        <v>17</v>
      </c>
      <c r="C24" s="14" t="n">
        <v>1</v>
      </c>
      <c r="D24" s="15" t="s">
        <v>18</v>
      </c>
      <c r="E24" s="14" t="s">
        <v>11</v>
      </c>
      <c r="F24" s="16" t="n">
        <f aca="false">IF(C24="","",SUM($C$5:C24))</f>
        <v>26</v>
      </c>
    </row>
    <row r="25" customFormat="false" ht="30" hidden="false" customHeight="true" outlineLevel="0" collapsed="false">
      <c r="A25" s="7" t="s">
        <v>35</v>
      </c>
      <c r="B25" s="8" t="s">
        <v>9</v>
      </c>
      <c r="C25" s="9" t="n">
        <v>1.5</v>
      </c>
      <c r="D25" s="10" t="s">
        <v>36</v>
      </c>
      <c r="E25" s="9" t="s">
        <v>11</v>
      </c>
      <c r="F25" s="11" t="n">
        <f aca="false">IF(C25="","",SUM($C$5:C25))</f>
        <v>27.5</v>
      </c>
    </row>
    <row r="26" customFormat="false" ht="30" hidden="false" customHeight="true" outlineLevel="0" collapsed="false">
      <c r="A26" s="12" t="s">
        <v>37</v>
      </c>
      <c r="B26" s="13" t="s">
        <v>17</v>
      </c>
      <c r="C26" s="14" t="n">
        <v>1</v>
      </c>
      <c r="D26" s="15" t="s">
        <v>18</v>
      </c>
      <c r="E26" s="14" t="s">
        <v>11</v>
      </c>
      <c r="F26" s="16" t="n">
        <f aca="false">IF(C26="","",SUM($C$5:C26))</f>
        <v>28.5</v>
      </c>
    </row>
    <row r="27" customFormat="false" ht="30" hidden="false" customHeight="true" outlineLevel="0" collapsed="false">
      <c r="A27" s="7" t="s">
        <v>37</v>
      </c>
      <c r="B27" s="8" t="s">
        <v>9</v>
      </c>
      <c r="C27" s="9" t="n">
        <v>1.5</v>
      </c>
      <c r="D27" s="10" t="s">
        <v>38</v>
      </c>
      <c r="E27" s="9" t="s">
        <v>11</v>
      </c>
      <c r="F27" s="11" t="n">
        <f aca="false">IF(C27="","",SUM($C$5:C27))</f>
        <v>30</v>
      </c>
    </row>
    <row r="28" customFormat="false" ht="30" hidden="false" customHeight="true" outlineLevel="0" collapsed="false">
      <c r="A28" s="12" t="s">
        <v>37</v>
      </c>
      <c r="B28" s="13" t="s">
        <v>9</v>
      </c>
      <c r="C28" s="14" t="n">
        <v>2</v>
      </c>
      <c r="D28" s="15" t="s">
        <v>39</v>
      </c>
      <c r="E28" s="14" t="s">
        <v>11</v>
      </c>
      <c r="F28" s="16" t="n">
        <f aca="false">IF(C28="","",SUM($C$5:C28))</f>
        <v>32</v>
      </c>
    </row>
    <row r="29" customFormat="false" ht="30" hidden="false" customHeight="true" outlineLevel="0" collapsed="false">
      <c r="A29" s="7" t="s">
        <v>40</v>
      </c>
      <c r="B29" s="8" t="s">
        <v>17</v>
      </c>
      <c r="C29" s="9" t="n">
        <v>1</v>
      </c>
      <c r="D29" s="10" t="s">
        <v>18</v>
      </c>
      <c r="E29" s="9" t="s">
        <v>11</v>
      </c>
      <c r="F29" s="11" t="n">
        <f aca="false">IF(C29="","",SUM($C$5:C29))</f>
        <v>33</v>
      </c>
    </row>
    <row r="30" customFormat="false" ht="30" hidden="false" customHeight="true" outlineLevel="0" collapsed="false">
      <c r="A30" s="12" t="s">
        <v>41</v>
      </c>
      <c r="B30" s="13" t="s">
        <v>17</v>
      </c>
      <c r="C30" s="14" t="n">
        <v>1</v>
      </c>
      <c r="D30" s="15" t="s">
        <v>18</v>
      </c>
      <c r="E30" s="14" t="s">
        <v>11</v>
      </c>
      <c r="F30" s="16" t="n">
        <f aca="false">IF(C30="","",SUM($C$5:C30))</f>
        <v>34</v>
      </c>
    </row>
    <row r="31" customFormat="false" ht="30" hidden="false" customHeight="true" outlineLevel="0" collapsed="false">
      <c r="A31" s="7" t="s">
        <v>41</v>
      </c>
      <c r="B31" s="8" t="s">
        <v>9</v>
      </c>
      <c r="C31" s="9" t="n">
        <v>1</v>
      </c>
      <c r="D31" s="10" t="s">
        <v>32</v>
      </c>
      <c r="E31" s="9" t="s">
        <v>11</v>
      </c>
      <c r="F31" s="11" t="n">
        <f aca="false">IF(C31="","",SUM($C$5:C31))</f>
        <v>35</v>
      </c>
    </row>
    <row r="32" customFormat="false" ht="30" hidden="false" customHeight="true" outlineLevel="0" collapsed="false">
      <c r="A32" s="12" t="s">
        <v>41</v>
      </c>
      <c r="B32" s="13" t="s">
        <v>9</v>
      </c>
      <c r="C32" s="14" t="n">
        <v>1</v>
      </c>
      <c r="D32" s="15" t="s">
        <v>42</v>
      </c>
      <c r="E32" s="14" t="s">
        <v>11</v>
      </c>
      <c r="F32" s="16" t="n">
        <f aca="false">IF(C32="","",SUM($C$5:C32))</f>
        <v>36</v>
      </c>
    </row>
    <row r="33" customFormat="false" ht="30" hidden="false" customHeight="true" outlineLevel="0" collapsed="false">
      <c r="A33" s="7" t="s">
        <v>43</v>
      </c>
      <c r="B33" s="8" t="s">
        <v>17</v>
      </c>
      <c r="C33" s="9" t="n">
        <v>1</v>
      </c>
      <c r="D33" s="10" t="s">
        <v>18</v>
      </c>
      <c r="E33" s="9" t="s">
        <v>11</v>
      </c>
      <c r="F33" s="11" t="n">
        <f aca="false">IF(C33="","",SUM($C$5:C33))</f>
        <v>37</v>
      </c>
    </row>
    <row r="34" customFormat="false" ht="30" hidden="false" customHeight="true" outlineLevel="0" collapsed="false">
      <c r="A34" s="12" t="s">
        <v>44</v>
      </c>
      <c r="B34" s="13" t="s">
        <v>17</v>
      </c>
      <c r="C34" s="14" t="n">
        <v>1</v>
      </c>
      <c r="D34" s="15" t="s">
        <v>18</v>
      </c>
      <c r="E34" s="14" t="s">
        <v>11</v>
      </c>
      <c r="F34" s="16" t="n">
        <f aca="false">IF(C34="","",SUM($C$5:C34))</f>
        <v>38</v>
      </c>
    </row>
    <row r="35" customFormat="false" ht="30" hidden="false" customHeight="true" outlineLevel="0" collapsed="false">
      <c r="A35" s="7" t="s">
        <v>45</v>
      </c>
      <c r="B35" s="8" t="s">
        <v>17</v>
      </c>
      <c r="C35" s="9" t="n">
        <v>1</v>
      </c>
      <c r="D35" s="10" t="s">
        <v>18</v>
      </c>
      <c r="E35" s="9" t="s">
        <v>11</v>
      </c>
      <c r="F35" s="11" t="n">
        <f aca="false">IF(C35="","",SUM($C$5:C35))</f>
        <v>39</v>
      </c>
    </row>
    <row r="36" customFormat="false" ht="30" hidden="false" customHeight="true" outlineLevel="0" collapsed="false">
      <c r="A36" s="12" t="s">
        <v>46</v>
      </c>
      <c r="B36" s="13" t="s">
        <v>17</v>
      </c>
      <c r="C36" s="14" t="n">
        <v>1</v>
      </c>
      <c r="D36" s="15" t="s">
        <v>18</v>
      </c>
      <c r="E36" s="14" t="s">
        <v>11</v>
      </c>
      <c r="F36" s="16" t="n">
        <f aca="false">IF(C36="","",SUM($C$5:C36))</f>
        <v>40</v>
      </c>
    </row>
    <row r="37" customFormat="false" ht="30" hidden="false" customHeight="true" outlineLevel="0" collapsed="false">
      <c r="A37" s="7" t="s">
        <v>47</v>
      </c>
      <c r="B37" s="8" t="s">
        <v>17</v>
      </c>
      <c r="C37" s="9" t="n">
        <v>1</v>
      </c>
      <c r="D37" s="10" t="s">
        <v>18</v>
      </c>
      <c r="E37" s="9" t="s">
        <v>11</v>
      </c>
      <c r="F37" s="11" t="n">
        <f aca="false">IF(C37="","",SUM($C$5:C37))</f>
        <v>41</v>
      </c>
    </row>
    <row r="38" customFormat="false" ht="30" hidden="false" customHeight="true" outlineLevel="0" collapsed="false">
      <c r="A38" s="12" t="s">
        <v>47</v>
      </c>
      <c r="B38" s="13" t="s">
        <v>9</v>
      </c>
      <c r="C38" s="14" t="n">
        <v>1</v>
      </c>
      <c r="D38" s="15" t="s">
        <v>48</v>
      </c>
      <c r="E38" s="14" t="s">
        <v>11</v>
      </c>
      <c r="F38" s="16" t="n">
        <f aca="false">IF(C38="","",SUM($C$5:C38))</f>
        <v>42</v>
      </c>
    </row>
    <row r="39" customFormat="false" ht="30" hidden="false" customHeight="true" outlineLevel="0" collapsed="false">
      <c r="A39" s="7" t="s">
        <v>47</v>
      </c>
      <c r="B39" s="8" t="s">
        <v>9</v>
      </c>
      <c r="C39" s="9" t="n">
        <v>1</v>
      </c>
      <c r="D39" s="10" t="s">
        <v>32</v>
      </c>
      <c r="E39" s="9" t="s">
        <v>11</v>
      </c>
      <c r="F39" s="11" t="n">
        <f aca="false">IF(C39="","",SUM($C$5:C39))</f>
        <v>43</v>
      </c>
    </row>
    <row r="40" customFormat="false" ht="30" hidden="false" customHeight="true" outlineLevel="0" collapsed="false">
      <c r="A40" s="12" t="s">
        <v>49</v>
      </c>
      <c r="B40" s="13" t="s">
        <v>17</v>
      </c>
      <c r="C40" s="14" t="n">
        <v>1</v>
      </c>
      <c r="D40" s="15" t="s">
        <v>18</v>
      </c>
      <c r="E40" s="14" t="s">
        <v>11</v>
      </c>
      <c r="F40" s="16" t="n">
        <f aca="false">IF(C40="","",SUM($C$5:C40))</f>
        <v>44</v>
      </c>
    </row>
    <row r="41" customFormat="false" ht="30" hidden="false" customHeight="true" outlineLevel="0" collapsed="false">
      <c r="A41" s="7" t="s">
        <v>50</v>
      </c>
      <c r="B41" s="8" t="s">
        <v>17</v>
      </c>
      <c r="C41" s="9" t="n">
        <v>1</v>
      </c>
      <c r="D41" s="10" t="s">
        <v>18</v>
      </c>
      <c r="E41" s="9" t="s">
        <v>11</v>
      </c>
      <c r="F41" s="11" t="n">
        <f aca="false">IF(C41="","",SUM($C$5:C41))</f>
        <v>45</v>
      </c>
    </row>
    <row r="42" customFormat="false" ht="30" hidden="false" customHeight="true" outlineLevel="0" collapsed="false">
      <c r="A42" s="12" t="s">
        <v>50</v>
      </c>
      <c r="B42" s="13" t="s">
        <v>9</v>
      </c>
      <c r="C42" s="14" t="n">
        <v>0.5</v>
      </c>
      <c r="D42" s="15" t="s">
        <v>51</v>
      </c>
      <c r="E42" s="14" t="s">
        <v>11</v>
      </c>
      <c r="F42" s="16" t="n">
        <f aca="false">IF(C42="","",SUM($C$5:C42))</f>
        <v>45.5</v>
      </c>
    </row>
    <row r="43" customFormat="false" ht="30" hidden="false" customHeight="true" outlineLevel="0" collapsed="false">
      <c r="A43" s="7" t="s">
        <v>52</v>
      </c>
      <c r="B43" s="8" t="s">
        <v>17</v>
      </c>
      <c r="C43" s="9" t="n">
        <v>1</v>
      </c>
      <c r="D43" s="10" t="s">
        <v>18</v>
      </c>
      <c r="E43" s="9" t="s">
        <v>11</v>
      </c>
      <c r="F43" s="11" t="n">
        <f aca="false">IF(C43="","",SUM($C$5:C43))</f>
        <v>46.5</v>
      </c>
    </row>
    <row r="44" customFormat="false" ht="30" hidden="false" customHeight="true" outlineLevel="0" collapsed="false">
      <c r="A44" s="12" t="s">
        <v>52</v>
      </c>
      <c r="B44" s="13" t="s">
        <v>9</v>
      </c>
      <c r="C44" s="14" t="n">
        <v>1</v>
      </c>
      <c r="D44" s="15" t="s">
        <v>53</v>
      </c>
      <c r="E44" s="14" t="s">
        <v>11</v>
      </c>
      <c r="F44" s="16" t="n">
        <f aca="false">IF(C44="","",SUM($C$5:C44))</f>
        <v>47.5</v>
      </c>
    </row>
    <row r="45" customFormat="false" ht="18" hidden="false" customHeight="true" outlineLevel="0" collapsed="false">
      <c r="A45" s="12"/>
      <c r="B45" s="13"/>
      <c r="C45" s="14"/>
      <c r="D45" s="13"/>
      <c r="E45" s="14"/>
      <c r="F45" s="16" t="str">
        <f aca="false">IF(C45="","",SUM($C$5:C45))</f>
        <v/>
      </c>
    </row>
    <row r="46" customFormat="false" ht="18" hidden="false" customHeight="true" outlineLevel="0" collapsed="false">
      <c r="A46" s="7"/>
      <c r="B46" s="8"/>
      <c r="C46" s="9"/>
      <c r="D46" s="8"/>
      <c r="E46" s="9"/>
      <c r="F46" s="11" t="str">
        <f aca="false">IF(C46="","",SUM($C$5:C46))</f>
        <v/>
      </c>
    </row>
    <row r="47" customFormat="false" ht="18" hidden="false" customHeight="true" outlineLevel="0" collapsed="false">
      <c r="A47" s="12"/>
      <c r="B47" s="13"/>
      <c r="C47" s="14"/>
      <c r="D47" s="13"/>
      <c r="E47" s="14"/>
      <c r="F47" s="16" t="str">
        <f aca="false">IF(C47="","",SUM($C$5:C47))</f>
        <v/>
      </c>
    </row>
    <row r="48" customFormat="false" ht="18" hidden="false" customHeight="true" outlineLevel="0" collapsed="false">
      <c r="A48" s="7"/>
      <c r="B48" s="8"/>
      <c r="C48" s="9"/>
      <c r="D48" s="8"/>
      <c r="E48" s="9"/>
      <c r="F48" s="11" t="str">
        <f aca="false">IF(C48="","",SUM($C$5:C48))</f>
        <v/>
      </c>
    </row>
    <row r="49" customFormat="false" ht="18" hidden="false" customHeight="true" outlineLevel="0" collapsed="false">
      <c r="A49" s="12"/>
      <c r="B49" s="13"/>
      <c r="C49" s="14"/>
      <c r="D49" s="13"/>
      <c r="E49" s="14"/>
      <c r="F49" s="16" t="str">
        <f aca="false">IF(C49="","",SUM($C$5:C49))</f>
        <v/>
      </c>
    </row>
    <row r="50" customFormat="false" ht="18" hidden="false" customHeight="true" outlineLevel="0" collapsed="false">
      <c r="A50" s="7"/>
      <c r="B50" s="8"/>
      <c r="C50" s="9"/>
      <c r="D50" s="8"/>
      <c r="E50" s="9"/>
      <c r="F50" s="11" t="str">
        <f aca="false">IF(C50="","",SUM($C$5:C50))</f>
        <v/>
      </c>
    </row>
    <row r="51" customFormat="false" ht="18" hidden="false" customHeight="true" outlineLevel="0" collapsed="false">
      <c r="A51" s="12"/>
      <c r="B51" s="13"/>
      <c r="C51" s="14"/>
      <c r="D51" s="13"/>
      <c r="E51" s="14"/>
      <c r="F51" s="16" t="str">
        <f aca="false">IF(C51="","",SUM($C$5:C51))</f>
        <v/>
      </c>
    </row>
    <row r="52" customFormat="false" ht="18" hidden="false" customHeight="true" outlineLevel="0" collapsed="false">
      <c r="A52" s="7"/>
      <c r="B52" s="8"/>
      <c r="C52" s="9"/>
      <c r="D52" s="8"/>
      <c r="E52" s="9"/>
      <c r="F52" s="11" t="str">
        <f aca="false">IF(C52="","",SUM($C$5:C52))</f>
        <v/>
      </c>
    </row>
    <row r="53" customFormat="false" ht="18" hidden="false" customHeight="true" outlineLevel="0" collapsed="false">
      <c r="A53" s="12"/>
      <c r="B53" s="13"/>
      <c r="C53" s="14"/>
      <c r="D53" s="13"/>
      <c r="E53" s="14"/>
      <c r="F53" s="16" t="str">
        <f aca="false">IF(C53="","",SUM($C$5:C53))</f>
        <v/>
      </c>
    </row>
    <row r="54" customFormat="false" ht="18" hidden="false" customHeight="true" outlineLevel="0" collapsed="false">
      <c r="A54" s="7"/>
      <c r="B54" s="8"/>
      <c r="C54" s="9"/>
      <c r="D54" s="8"/>
      <c r="E54" s="9"/>
      <c r="F54" s="11" t="str">
        <f aca="false">IF(C54="","",SUM($C$5:C54))</f>
        <v/>
      </c>
    </row>
    <row r="55" customFormat="false" ht="18" hidden="false" customHeight="true" outlineLevel="0" collapsed="false">
      <c r="A55" s="12"/>
      <c r="B55" s="13"/>
      <c r="C55" s="14"/>
      <c r="D55" s="13"/>
      <c r="E55" s="14"/>
      <c r="F55" s="16" t="str">
        <f aca="false">IF(C55="","",SUM($C$5:C55))</f>
        <v/>
      </c>
    </row>
    <row r="56" customFormat="false" ht="18" hidden="false" customHeight="true" outlineLevel="0" collapsed="false">
      <c r="A56" s="7"/>
      <c r="B56" s="8"/>
      <c r="C56" s="9"/>
      <c r="D56" s="8"/>
      <c r="E56" s="9"/>
      <c r="F56" s="11" t="str">
        <f aca="false">IF(C56="","",SUM($C$5:C56))</f>
        <v/>
      </c>
    </row>
    <row r="57" customFormat="false" ht="18" hidden="false" customHeight="true" outlineLevel="0" collapsed="false">
      <c r="A57" s="12"/>
      <c r="B57" s="13"/>
      <c r="C57" s="14"/>
      <c r="D57" s="13"/>
      <c r="E57" s="14"/>
      <c r="F57" s="16" t="str">
        <f aca="false">IF(C57="","",SUM($C$5:C57))</f>
        <v/>
      </c>
    </row>
    <row r="58" customFormat="false" ht="18" hidden="false" customHeight="true" outlineLevel="0" collapsed="false">
      <c r="A58" s="7"/>
      <c r="B58" s="8"/>
      <c r="C58" s="9"/>
      <c r="D58" s="8"/>
      <c r="E58" s="9"/>
      <c r="F58" s="11" t="str">
        <f aca="false">IF(C58="","",SUM($C$5:C58))</f>
        <v/>
      </c>
    </row>
    <row r="59" customFormat="false" ht="18" hidden="false" customHeight="true" outlineLevel="0" collapsed="false">
      <c r="A59" s="12"/>
      <c r="B59" s="13"/>
      <c r="C59" s="14"/>
      <c r="D59" s="13"/>
      <c r="E59" s="14"/>
      <c r="F59" s="16" t="str">
        <f aca="false">IF(C59="","",SUM($C$5:C59))</f>
        <v/>
      </c>
    </row>
    <row r="60" customFormat="false" ht="18" hidden="false" customHeight="true" outlineLevel="0" collapsed="false">
      <c r="A60" s="7"/>
      <c r="B60" s="8"/>
      <c r="C60" s="9"/>
      <c r="D60" s="8"/>
      <c r="E60" s="9"/>
      <c r="F60" s="11" t="str">
        <f aca="false">IF(C60="","",SUM($C$5:C60))</f>
        <v/>
      </c>
    </row>
    <row r="61" customFormat="false" ht="18" hidden="false" customHeight="true" outlineLevel="0" collapsed="false">
      <c r="A61" s="12"/>
      <c r="B61" s="13"/>
      <c r="C61" s="14"/>
      <c r="D61" s="13"/>
      <c r="E61" s="14"/>
      <c r="F61" s="16" t="str">
        <f aca="false">IF(C61="","",SUM($C$5:C61))</f>
        <v/>
      </c>
    </row>
    <row r="62" customFormat="false" ht="18" hidden="false" customHeight="true" outlineLevel="0" collapsed="false">
      <c r="A62" s="7"/>
      <c r="B62" s="8"/>
      <c r="C62" s="9"/>
      <c r="D62" s="8"/>
      <c r="E62" s="9"/>
      <c r="F62" s="11" t="str">
        <f aca="false">IF(C62="","",SUM($C$5:C62))</f>
        <v/>
      </c>
    </row>
    <row r="63" customFormat="false" ht="18" hidden="false" customHeight="true" outlineLevel="0" collapsed="false">
      <c r="A63" s="12"/>
      <c r="B63" s="13"/>
      <c r="C63" s="14"/>
      <c r="D63" s="13"/>
      <c r="E63" s="14"/>
      <c r="F63" s="16" t="str">
        <f aca="false">IF(C63="","",SUM($C$5:C63))</f>
        <v/>
      </c>
    </row>
    <row r="64" customFormat="false" ht="18" hidden="false" customHeight="true" outlineLevel="0" collapsed="false">
      <c r="A64" s="7"/>
      <c r="B64" s="8"/>
      <c r="C64" s="9"/>
      <c r="D64" s="8"/>
      <c r="E64" s="9"/>
      <c r="F64" s="11" t="str">
        <f aca="false">IF(C64="","",SUM($C$5:C64))</f>
        <v/>
      </c>
    </row>
    <row r="65" customFormat="false" ht="18" hidden="false" customHeight="true" outlineLevel="0" collapsed="false">
      <c r="A65" s="12"/>
      <c r="B65" s="13"/>
      <c r="C65" s="14"/>
      <c r="D65" s="13"/>
      <c r="E65" s="14"/>
      <c r="F65" s="16" t="str">
        <f aca="false">IF(C65="","",SUM($C$5:C65))</f>
        <v/>
      </c>
    </row>
    <row r="66" customFormat="false" ht="18" hidden="false" customHeight="true" outlineLevel="0" collapsed="false">
      <c r="A66" s="7"/>
      <c r="B66" s="8"/>
      <c r="C66" s="9"/>
      <c r="D66" s="8"/>
      <c r="E66" s="9"/>
      <c r="F66" s="11" t="str">
        <f aca="false">IF(C66="","",SUM($C$5:C66))</f>
        <v/>
      </c>
    </row>
    <row r="67" customFormat="false" ht="18" hidden="false" customHeight="true" outlineLevel="0" collapsed="false">
      <c r="A67" s="12"/>
      <c r="B67" s="13"/>
      <c r="C67" s="14"/>
      <c r="D67" s="13"/>
      <c r="E67" s="14"/>
      <c r="F67" s="16" t="str">
        <f aca="false">IF(C67="","",SUM($C$5:C67))</f>
        <v/>
      </c>
    </row>
    <row r="68" customFormat="false" ht="18" hidden="false" customHeight="true" outlineLevel="0" collapsed="false">
      <c r="A68" s="7"/>
      <c r="B68" s="8"/>
      <c r="C68" s="9"/>
      <c r="D68" s="8"/>
      <c r="E68" s="9"/>
      <c r="F68" s="11" t="str">
        <f aca="false">IF(C68="","",SUM($C$5:C68))</f>
        <v/>
      </c>
    </row>
    <row r="69" customFormat="false" ht="18" hidden="false" customHeight="true" outlineLevel="0" collapsed="false">
      <c r="A69" s="12"/>
      <c r="B69" s="13"/>
      <c r="C69" s="14"/>
      <c r="D69" s="13"/>
      <c r="E69" s="14"/>
      <c r="F69" s="16" t="str">
        <f aca="false">IF(C69="","",SUM($C$5:C69))</f>
        <v/>
      </c>
    </row>
    <row r="70" customFormat="false" ht="18" hidden="false" customHeight="true" outlineLevel="0" collapsed="false">
      <c r="A70" s="7"/>
      <c r="B70" s="8"/>
      <c r="C70" s="9"/>
      <c r="D70" s="8"/>
      <c r="E70" s="9"/>
      <c r="F70" s="11" t="str">
        <f aca="false">IF(C70="","",SUM($C$5:C70))</f>
        <v/>
      </c>
    </row>
    <row r="71" customFormat="false" ht="18" hidden="false" customHeight="true" outlineLevel="0" collapsed="false">
      <c r="A71" s="12"/>
      <c r="B71" s="13"/>
      <c r="C71" s="14"/>
      <c r="D71" s="13"/>
      <c r="E71" s="14"/>
      <c r="F71" s="16" t="str">
        <f aca="false">IF(C71="","",SUM($C$5:C71))</f>
        <v/>
      </c>
    </row>
    <row r="72" customFormat="false" ht="18" hidden="false" customHeight="true" outlineLevel="0" collapsed="false">
      <c r="A72" s="7"/>
      <c r="B72" s="8"/>
      <c r="C72" s="9"/>
      <c r="D72" s="8"/>
      <c r="E72" s="9"/>
      <c r="F72" s="11" t="str">
        <f aca="false">IF(C72="","",SUM($C$5:C72))</f>
        <v/>
      </c>
    </row>
    <row r="73" customFormat="false" ht="18" hidden="false" customHeight="true" outlineLevel="0" collapsed="false">
      <c r="A73" s="12"/>
      <c r="B73" s="13"/>
      <c r="C73" s="14"/>
      <c r="D73" s="13"/>
      <c r="E73" s="14"/>
      <c r="F73" s="16" t="str">
        <f aca="false">IF(C73="","",SUM($C$5:C73))</f>
        <v/>
      </c>
    </row>
    <row r="74" customFormat="false" ht="18" hidden="false" customHeight="true" outlineLevel="0" collapsed="false">
      <c r="A74" s="7"/>
      <c r="B74" s="8"/>
      <c r="C74" s="9"/>
      <c r="D74" s="8"/>
      <c r="E74" s="9"/>
      <c r="F74" s="11" t="str">
        <f aca="false">IF(C74="","",SUM($C$5:C74))</f>
        <v/>
      </c>
    </row>
    <row r="75" customFormat="false" ht="18" hidden="false" customHeight="true" outlineLevel="0" collapsed="false">
      <c r="A75" s="12"/>
      <c r="B75" s="13"/>
      <c r="C75" s="14"/>
      <c r="D75" s="13"/>
      <c r="E75" s="14"/>
      <c r="F75" s="16" t="str">
        <f aca="false">IF(C75="","",SUM($C$5:C75))</f>
        <v/>
      </c>
    </row>
    <row r="76" customFormat="false" ht="18" hidden="false" customHeight="true" outlineLevel="0" collapsed="false">
      <c r="A76" s="7"/>
      <c r="B76" s="8"/>
      <c r="C76" s="9"/>
      <c r="D76" s="8"/>
      <c r="E76" s="9"/>
      <c r="F76" s="11" t="str">
        <f aca="false">IF(C76="","",SUM($C$5:C76))</f>
        <v/>
      </c>
    </row>
    <row r="77" customFormat="false" ht="18" hidden="false" customHeight="true" outlineLevel="0" collapsed="false">
      <c r="A77" s="12"/>
      <c r="B77" s="13"/>
      <c r="C77" s="14"/>
      <c r="D77" s="13"/>
      <c r="E77" s="14"/>
      <c r="F77" s="16" t="str">
        <f aca="false">IF(C77="","",SUM($C$5:C77))</f>
        <v/>
      </c>
    </row>
    <row r="78" customFormat="false" ht="18" hidden="false" customHeight="true" outlineLevel="0" collapsed="false">
      <c r="A78" s="7"/>
      <c r="B78" s="8"/>
      <c r="C78" s="9"/>
      <c r="D78" s="8"/>
      <c r="E78" s="9"/>
      <c r="F78" s="11" t="str">
        <f aca="false">IF(C78="","",SUM($C$5:C78))</f>
        <v/>
      </c>
    </row>
    <row r="79" customFormat="false" ht="18" hidden="false" customHeight="true" outlineLevel="0" collapsed="false">
      <c r="A79" s="12"/>
      <c r="B79" s="13"/>
      <c r="C79" s="14"/>
      <c r="D79" s="13"/>
      <c r="E79" s="14"/>
      <c r="F79" s="16" t="str">
        <f aca="false">IF(C79="","",SUM($C$5:C79))</f>
        <v/>
      </c>
    </row>
    <row r="80" customFormat="false" ht="18" hidden="false" customHeight="true" outlineLevel="0" collapsed="false">
      <c r="A80" s="7"/>
      <c r="B80" s="8"/>
      <c r="C80" s="9"/>
      <c r="D80" s="8"/>
      <c r="E80" s="9"/>
      <c r="F80" s="11" t="str">
        <f aca="false">IF(C80="","",SUM($C$5:C80))</f>
        <v/>
      </c>
    </row>
    <row r="81" customFormat="false" ht="18" hidden="false" customHeight="true" outlineLevel="0" collapsed="false">
      <c r="A81" s="12"/>
      <c r="B81" s="13"/>
      <c r="C81" s="14"/>
      <c r="D81" s="13"/>
      <c r="E81" s="14"/>
      <c r="F81" s="16" t="str">
        <f aca="false">IF(C81="","",SUM($C$5:C81))</f>
        <v/>
      </c>
    </row>
    <row r="82" customFormat="false" ht="18" hidden="false" customHeight="true" outlineLevel="0" collapsed="false">
      <c r="A82" s="7"/>
      <c r="B82" s="8"/>
      <c r="C82" s="9"/>
      <c r="D82" s="8"/>
      <c r="E82" s="9"/>
      <c r="F82" s="11" t="str">
        <f aca="false">IF(C82="","",SUM($C$5:C82))</f>
        <v/>
      </c>
    </row>
    <row r="83" customFormat="false" ht="18" hidden="false" customHeight="true" outlineLevel="0" collapsed="false">
      <c r="A83" s="12"/>
      <c r="B83" s="13"/>
      <c r="C83" s="14"/>
      <c r="D83" s="13"/>
      <c r="E83" s="14"/>
      <c r="F83" s="16" t="str">
        <f aca="false">IF(C83="","",SUM($C$5:C83))</f>
        <v/>
      </c>
    </row>
    <row r="84" customFormat="false" ht="18" hidden="false" customHeight="true" outlineLevel="0" collapsed="false">
      <c r="A84" s="7"/>
      <c r="B84" s="8"/>
      <c r="C84" s="9"/>
      <c r="D84" s="8"/>
      <c r="E84" s="9"/>
      <c r="F84" s="11" t="str">
        <f aca="false">IF(C84="","",SUM($C$5:C84))</f>
        <v/>
      </c>
    </row>
    <row r="85" customFormat="false" ht="18" hidden="false" customHeight="true" outlineLevel="0" collapsed="false">
      <c r="A85" s="12"/>
      <c r="B85" s="13"/>
      <c r="C85" s="14"/>
      <c r="D85" s="13"/>
      <c r="E85" s="14"/>
      <c r="F85" s="16" t="str">
        <f aca="false">IF(C85="","",SUM($C$5:C85))</f>
        <v/>
      </c>
    </row>
    <row r="86" customFormat="false" ht="18" hidden="false" customHeight="true" outlineLevel="0" collapsed="false">
      <c r="A86" s="7"/>
      <c r="B86" s="8"/>
      <c r="C86" s="9"/>
      <c r="D86" s="8"/>
      <c r="E86" s="9"/>
      <c r="F86" s="11" t="str">
        <f aca="false">IF(C86="","",SUM($C$5:C86))</f>
        <v/>
      </c>
    </row>
    <row r="87" customFormat="false" ht="18" hidden="false" customHeight="true" outlineLevel="0" collapsed="false">
      <c r="A87" s="12"/>
      <c r="B87" s="13"/>
      <c r="C87" s="14"/>
      <c r="D87" s="13"/>
      <c r="E87" s="14"/>
      <c r="F87" s="16" t="str">
        <f aca="false">IF(C87="","",SUM($C$5:C87))</f>
        <v/>
      </c>
    </row>
    <row r="88" customFormat="false" ht="18" hidden="false" customHeight="true" outlineLevel="0" collapsed="false">
      <c r="A88" s="7"/>
      <c r="B88" s="8"/>
      <c r="C88" s="9"/>
      <c r="D88" s="8"/>
      <c r="E88" s="9"/>
      <c r="F88" s="11" t="str">
        <f aca="false">IF(C88="","",SUM($C$5:C88))</f>
        <v/>
      </c>
    </row>
    <row r="89" customFormat="false" ht="18" hidden="false" customHeight="true" outlineLevel="0" collapsed="false">
      <c r="A89" s="12"/>
      <c r="B89" s="13"/>
      <c r="C89" s="14"/>
      <c r="D89" s="13"/>
      <c r="E89" s="14"/>
      <c r="F89" s="16" t="str">
        <f aca="false">IF(C89="","",SUM($C$5:C89))</f>
        <v/>
      </c>
    </row>
    <row r="90" customFormat="false" ht="18" hidden="false" customHeight="true" outlineLevel="0" collapsed="false">
      <c r="A90" s="7"/>
      <c r="B90" s="8"/>
      <c r="C90" s="9"/>
      <c r="D90" s="8"/>
      <c r="E90" s="9"/>
      <c r="F90" s="11" t="str">
        <f aca="false">IF(C90="","",SUM($C$5:C90))</f>
        <v/>
      </c>
    </row>
    <row r="91" customFormat="false" ht="18" hidden="false" customHeight="true" outlineLevel="0" collapsed="false">
      <c r="A91" s="12"/>
      <c r="B91" s="13"/>
      <c r="C91" s="14"/>
      <c r="D91" s="13"/>
      <c r="E91" s="14"/>
      <c r="F91" s="16" t="str">
        <f aca="false">IF(C91="","",SUM($C$5:C91))</f>
        <v/>
      </c>
    </row>
    <row r="92" customFormat="false" ht="18" hidden="false" customHeight="true" outlineLevel="0" collapsed="false">
      <c r="A92" s="7"/>
      <c r="B92" s="8"/>
      <c r="C92" s="9"/>
      <c r="D92" s="8"/>
      <c r="E92" s="9"/>
      <c r="F92" s="11" t="str">
        <f aca="false">IF(C92="","",SUM($C$5:C92))</f>
        <v/>
      </c>
    </row>
    <row r="93" customFormat="false" ht="18" hidden="false" customHeight="true" outlineLevel="0" collapsed="false">
      <c r="A93" s="12"/>
      <c r="B93" s="13"/>
      <c r="C93" s="14"/>
      <c r="D93" s="13"/>
      <c r="E93" s="14"/>
      <c r="F93" s="16" t="str">
        <f aca="false">IF(C93="","",SUM($C$5:C93))</f>
        <v/>
      </c>
    </row>
    <row r="94" customFormat="false" ht="18" hidden="false" customHeight="true" outlineLevel="0" collapsed="false">
      <c r="A94" s="7"/>
      <c r="B94" s="8"/>
      <c r="C94" s="9"/>
      <c r="D94" s="8"/>
      <c r="E94" s="9"/>
      <c r="F94" s="11" t="str">
        <f aca="false">IF(C94="","",SUM($C$5:C94))</f>
        <v/>
      </c>
    </row>
    <row r="95" customFormat="false" ht="18" hidden="false" customHeight="true" outlineLevel="0" collapsed="false">
      <c r="A95" s="12"/>
      <c r="B95" s="13"/>
      <c r="C95" s="14"/>
      <c r="D95" s="13"/>
      <c r="E95" s="14"/>
      <c r="F95" s="16" t="str">
        <f aca="false">IF(C95="","",SUM($C$5:C95))</f>
        <v/>
      </c>
    </row>
    <row r="96" customFormat="false" ht="18" hidden="false" customHeight="true" outlineLevel="0" collapsed="false">
      <c r="A96" s="7"/>
      <c r="B96" s="8"/>
      <c r="C96" s="9"/>
      <c r="D96" s="8"/>
      <c r="E96" s="9"/>
      <c r="F96" s="11" t="str">
        <f aca="false">IF(C96="","",SUM($C$5:C96))</f>
        <v/>
      </c>
    </row>
    <row r="97" customFormat="false" ht="18" hidden="false" customHeight="true" outlineLevel="0" collapsed="false">
      <c r="A97" s="12"/>
      <c r="B97" s="13"/>
      <c r="C97" s="14"/>
      <c r="D97" s="13"/>
      <c r="E97" s="14"/>
      <c r="F97" s="16" t="str">
        <f aca="false">IF(C97="","",SUM($C$5:C97))</f>
        <v/>
      </c>
    </row>
    <row r="98" customFormat="false" ht="18" hidden="false" customHeight="true" outlineLevel="0" collapsed="false">
      <c r="A98" s="7"/>
      <c r="B98" s="8"/>
      <c r="C98" s="9"/>
      <c r="D98" s="8"/>
      <c r="E98" s="9"/>
      <c r="F98" s="11" t="str">
        <f aca="false">IF(C98="","",SUM($C$5:C98))</f>
        <v/>
      </c>
    </row>
    <row r="99" customFormat="false" ht="18" hidden="false" customHeight="true" outlineLevel="0" collapsed="false">
      <c r="A99" s="12"/>
      <c r="B99" s="13"/>
      <c r="C99" s="14"/>
      <c r="D99" s="13"/>
      <c r="E99" s="14"/>
      <c r="F99" s="16" t="str">
        <f aca="false">IF(C99="","",SUM($C$5:C99))</f>
        <v/>
      </c>
    </row>
    <row r="100" customFormat="false" ht="18" hidden="false" customHeight="true" outlineLevel="0" collapsed="false">
      <c r="A100" s="7"/>
      <c r="B100" s="8"/>
      <c r="C100" s="9"/>
      <c r="D100" s="8"/>
      <c r="E100" s="9"/>
      <c r="F100" s="11" t="str">
        <f aca="false">IF(C100="","",SUM($C$5:C100))</f>
        <v/>
      </c>
    </row>
    <row r="101" customFormat="false" ht="18" hidden="false" customHeight="true" outlineLevel="0" collapsed="false">
      <c r="A101" s="12"/>
      <c r="B101" s="13"/>
      <c r="C101" s="14"/>
      <c r="D101" s="13"/>
      <c r="E101" s="14"/>
      <c r="F101" s="16" t="str">
        <f aca="false">IF(C101="","",SUM($C$5:C101))</f>
        <v/>
      </c>
    </row>
    <row r="102" customFormat="false" ht="18" hidden="false" customHeight="true" outlineLevel="0" collapsed="false">
      <c r="A102" s="7"/>
      <c r="B102" s="8"/>
      <c r="C102" s="9"/>
      <c r="D102" s="8"/>
      <c r="E102" s="9"/>
      <c r="F102" s="11" t="str">
        <f aca="false">IF(C102="","",SUM($C$5:C102))</f>
        <v/>
      </c>
    </row>
    <row r="103" customFormat="false" ht="18" hidden="false" customHeight="true" outlineLevel="0" collapsed="false">
      <c r="A103" s="12"/>
      <c r="B103" s="13"/>
      <c r="C103" s="14"/>
      <c r="D103" s="13"/>
      <c r="E103" s="14"/>
      <c r="F103" s="16" t="str">
        <f aca="false">IF(C103="","",SUM($C$5:C103))</f>
        <v/>
      </c>
    </row>
    <row r="104" customFormat="false" ht="18" hidden="false" customHeight="true" outlineLevel="0" collapsed="false">
      <c r="A104" s="7"/>
      <c r="B104" s="8"/>
      <c r="C104" s="9"/>
      <c r="D104" s="8"/>
      <c r="E104" s="9"/>
      <c r="F104" s="11" t="str">
        <f aca="false">IF(C104="","",SUM($C$5:C104))</f>
        <v/>
      </c>
    </row>
    <row r="105" customFormat="false" ht="21.75" hidden="false" customHeight="true" outlineLevel="0" collapsed="false">
      <c r="A105" s="17" t="s">
        <v>54</v>
      </c>
      <c r="B105" s="17"/>
      <c r="C105" s="18" t="n">
        <f aca="false">SUM(C5:C104)</f>
        <v>47.5</v>
      </c>
      <c r="D105" s="19"/>
      <c r="E105" s="19"/>
      <c r="F105" s="20" t="str">
        <f aca="false">SUM(C5:C104)&amp;" / 160 hrs"</f>
        <v>47.5 / 160 hrs</v>
      </c>
    </row>
  </sheetData>
  <mergeCells count="3">
    <mergeCell ref="A1:F1"/>
    <mergeCell ref="A2:F2"/>
    <mergeCell ref="A105:B105"/>
  </mergeCells>
  <dataValidations count="2">
    <dataValidation allowBlank="true" errorStyle="stop" operator="between" showDropDown="false" showErrorMessage="false" showInputMessage="false" sqref="B5:B104" type="list">
      <formula1>"Resource audit &amp; mapping,Planning &amp; delivery of focus groups,Thematic analysis,Drafting &amp; refining resources,Online resource hub development,Partnership meetings &amp; Core Group,Monitoring &amp; evaluation"</formula1>
      <formula2>0</formula2>
    </dataValidation>
    <dataValidation allowBlank="true" errorStyle="stop" operator="between" showDropDown="false" showErrorMessage="false" showInputMessage="false" sqref="E5:E104" type="list">
      <formula1>"Paid (grant),Unpaid (voluntary)"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6"/>
    <col collapsed="false" customWidth="true" hidden="false" outlineLevel="0" max="4" min="4" style="1" width="18"/>
  </cols>
  <sheetData>
    <row r="1" customFormat="false" ht="27.75" hidden="false" customHeight="true" outlineLevel="0" collapsed="false">
      <c r="A1" s="2" t="s">
        <v>55</v>
      </c>
      <c r="B1" s="2"/>
      <c r="C1" s="2"/>
      <c r="D1" s="2"/>
    </row>
    <row r="2" customFormat="false" ht="18" hidden="false" customHeight="true" outlineLevel="0" collapsed="false">
      <c r="A2" s="3" t="s">
        <v>56</v>
      </c>
      <c r="B2" s="3"/>
      <c r="C2" s="3"/>
      <c r="D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3</v>
      </c>
      <c r="B4" s="5" t="s">
        <v>57</v>
      </c>
      <c r="C4" s="5" t="s">
        <v>58</v>
      </c>
      <c r="D4" s="6" t="s">
        <v>59</v>
      </c>
    </row>
    <row r="5" customFormat="false" ht="19.5" hidden="false" customHeight="true" outlineLevel="0" collapsed="false">
      <c r="A5" s="21" t="s">
        <v>17</v>
      </c>
      <c r="B5" s="14" t="n">
        <v>18</v>
      </c>
      <c r="C5" s="14" t="n">
        <f aca="false">SUMIF('Time Log'!B:B,A5,'Time Log'!C:C)</f>
        <v>18</v>
      </c>
      <c r="D5" s="16" t="n">
        <f aca="false">B5-C5</f>
        <v>0</v>
      </c>
    </row>
    <row r="6" customFormat="false" ht="19.5" hidden="false" customHeight="true" outlineLevel="0" collapsed="false">
      <c r="A6" s="22" t="s">
        <v>28</v>
      </c>
      <c r="B6" s="9" t="n">
        <v>60</v>
      </c>
      <c r="C6" s="9" t="n">
        <f aca="false">SUMIF('Time Log'!B:B,A6,'Time Log'!C:C)</f>
        <v>4</v>
      </c>
      <c r="D6" s="11" t="n">
        <f aca="false">B6-C6</f>
        <v>56</v>
      </c>
    </row>
    <row r="7" customFormat="false" ht="19.5" hidden="false" customHeight="true" outlineLevel="0" collapsed="false">
      <c r="A7" s="21" t="s">
        <v>60</v>
      </c>
      <c r="B7" s="14" t="n">
        <v>22</v>
      </c>
      <c r="C7" s="14" t="n">
        <f aca="false">SUMIF('Time Log'!B:B,A7,'Time Log'!C:C)</f>
        <v>0</v>
      </c>
      <c r="D7" s="16" t="n">
        <f aca="false">B7-C7</f>
        <v>22</v>
      </c>
    </row>
    <row r="8" customFormat="false" ht="19.5" hidden="false" customHeight="true" outlineLevel="0" collapsed="false">
      <c r="A8" s="22" t="s">
        <v>61</v>
      </c>
      <c r="B8" s="9" t="n">
        <v>28</v>
      </c>
      <c r="C8" s="9" t="n">
        <f aca="false">SUMIF('Time Log'!B:B,A8,'Time Log'!C:C)</f>
        <v>0</v>
      </c>
      <c r="D8" s="11" t="n">
        <f aca="false">B8-C8</f>
        <v>28</v>
      </c>
    </row>
    <row r="9" customFormat="false" ht="19.5" hidden="false" customHeight="true" outlineLevel="0" collapsed="false">
      <c r="A9" s="21" t="s">
        <v>62</v>
      </c>
      <c r="B9" s="14" t="n">
        <v>16</v>
      </c>
      <c r="C9" s="14" t="n">
        <f aca="false">SUMIF('Time Log'!B:B,A9,'Time Log'!C:C)</f>
        <v>0</v>
      </c>
      <c r="D9" s="16" t="n">
        <f aca="false">B9-C9</f>
        <v>16</v>
      </c>
    </row>
    <row r="10" customFormat="false" ht="19.5" hidden="false" customHeight="true" outlineLevel="0" collapsed="false">
      <c r="A10" s="22" t="s">
        <v>9</v>
      </c>
      <c r="B10" s="9" t="n">
        <v>10</v>
      </c>
      <c r="C10" s="9" t="n">
        <f aca="false">SUMIF('Time Log'!B:B,A10,'Time Log'!C:C)</f>
        <v>25.5</v>
      </c>
      <c r="D10" s="11" t="n">
        <f aca="false">B10-C10</f>
        <v>-15.5</v>
      </c>
    </row>
    <row r="11" customFormat="false" ht="19.5" hidden="false" customHeight="true" outlineLevel="0" collapsed="false">
      <c r="A11" s="21" t="s">
        <v>63</v>
      </c>
      <c r="B11" s="14" t="n">
        <v>6</v>
      </c>
      <c r="C11" s="14" t="n">
        <f aca="false">SUMIF('Time Log'!B:B,A11,'Time Log'!C:C)</f>
        <v>0</v>
      </c>
      <c r="D11" s="16" t="n">
        <f aca="false">B11-C11</f>
        <v>6</v>
      </c>
    </row>
    <row r="12" customFormat="false" ht="21.75" hidden="false" customHeight="true" outlineLevel="0" collapsed="false">
      <c r="A12" s="23" t="s">
        <v>64</v>
      </c>
      <c r="B12" s="24" t="n">
        <v>160</v>
      </c>
      <c r="C12" s="24" t="n">
        <f aca="false">SUM(C5:C11)</f>
        <v>47.5</v>
      </c>
      <c r="D12" s="20" t="n">
        <f aca="false">B12-C12</f>
        <v>112.5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25" t="s">
        <v>65</v>
      </c>
      <c r="B15" s="25"/>
      <c r="C15" s="26" t="n">
        <f aca="false">C12*25</f>
        <v>1187.5</v>
      </c>
      <c r="D15" s="27"/>
    </row>
  </sheetData>
  <mergeCells count="3">
    <mergeCell ref="A1:D1"/>
    <mergeCell ref="A2:D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2026-06-03T14:29:26Z</dcterms:created>
  <dc:creator>openpyxl</dc:creator>
  <dc:description/>
  <dc:language>en-US</dc:language>
  <cp:lastModifiedBy/>
  <dcterms:modified xsi:type="dcterms:W3CDTF">2026-06-03T15:44:25Z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